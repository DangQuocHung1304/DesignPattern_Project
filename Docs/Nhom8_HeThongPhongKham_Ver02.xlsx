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2.CNPMNangCao\LyThuyet\Tuan07\"/>
    </mc:Choice>
  </mc:AlternateContent>
  <xr:revisionPtr revIDLastSave="0" documentId="13_ncr:1_{CC4CA6BE-6BB1-4828-BC8C-7B76A9BFCDF8}" xr6:coauthVersionLast="47" xr6:coauthVersionMax="47" xr10:uidLastSave="{00000000-0000-0000-0000-000000000000}"/>
  <bookViews>
    <workbookView xWindow="-120" yWindow="-120" windowWidth="29040" windowHeight="15720" tabRatio="798" activeTab="3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7" i="1"/>
  <c r="B28" i="1"/>
  <c r="B29" i="1"/>
  <c r="B30" i="1"/>
  <c r="B2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49" i="1"/>
  <c r="B45" i="1"/>
  <c r="B46" i="1"/>
  <c r="B42" i="1"/>
  <c r="B33" i="1"/>
  <c r="B34" i="1"/>
  <c r="B35" i="1"/>
  <c r="B36" i="1"/>
  <c r="B37" i="1"/>
  <c r="B38" i="1"/>
  <c r="B39" i="1"/>
  <c r="C101" i="6"/>
  <c r="C92" i="6"/>
  <c r="C83" i="6"/>
  <c r="C74" i="6"/>
  <c r="C65" i="6"/>
  <c r="C55" i="6"/>
  <c r="C45" i="6"/>
  <c r="C34" i="6"/>
  <c r="C19" i="6"/>
  <c r="D4" i="1"/>
  <c r="C5" i="6"/>
</calcChain>
</file>

<file path=xl/sharedStrings.xml><?xml version="1.0" encoding="utf-8"?>
<sst xmlns="http://schemas.openxmlformats.org/spreadsheetml/2006/main" count="341" uniqueCount="141">
  <si>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</si>
  <si>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</si>
  <si>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</si>
  <si>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</si>
  <si>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</si>
  <si>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</si>
  <si>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</si>
  <si>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</si>
  <si>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</si>
  <si>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</si>
  <si>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</si>
  <si>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</si>
  <si>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</si>
  <si>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</si>
  <si>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</si>
  <si>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</si>
  <si>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</si>
  <si>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</si>
  <si>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</si>
  <si>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PRODUCT BACKLOG</t>
  </si>
  <si>
    <t>SPRINT BACKLOG</t>
  </si>
  <si>
    <t>Đặng Quốc Hưng</t>
  </si>
  <si>
    <t>Actor: là khách hàng tôi muốn</t>
  </si>
  <si>
    <t>Xem được trang chủ</t>
  </si>
  <si>
    <t>Đăng ký lịch khám trực tuyến</t>
  </si>
  <si>
    <t>Tạo tài khoản</t>
  </si>
  <si>
    <t>Xem lại lịch sử khám</t>
  </si>
  <si>
    <t>Xem quá trình điều trị bệnh</t>
  </si>
  <si>
    <t>Thay đổi lịch hẹn khi đã đặt lịch</t>
  </si>
  <si>
    <t>Gọi tới phòng khám</t>
  </si>
  <si>
    <t>Liên hệ tư vấn trên web</t>
  </si>
  <si>
    <t>Đánh giá bác sĩ</t>
  </si>
  <si>
    <t>Đánh giá phòng khám</t>
  </si>
  <si>
    <t>Actor: là tiếp tân tôi muốn</t>
  </si>
  <si>
    <t>Nhận lịch khám của khách hàng qua đặt trực tuyến</t>
  </si>
  <si>
    <t>Nhận lịch khám của khách hàng qua đặt trực tiếp tại phòng khám</t>
  </si>
  <si>
    <t>Đặt lịch hẹn giữa bệnh nhân và bác sĩ</t>
  </si>
  <si>
    <t>Hủy lịch hẹn</t>
  </si>
  <si>
    <t>Chuyển đổi lịch hẹn</t>
  </si>
  <si>
    <t>Liên hệ khách hàng</t>
  </si>
  <si>
    <t>Actor: là bác sĩ tôi muốn</t>
  </si>
  <si>
    <t>Cập nhật thông tin cá nhân</t>
  </si>
  <si>
    <t>Xem thông tin cá nhân của bệnh nhân</t>
  </si>
  <si>
    <t>Xem lịch sử bệnh của bệnh nhân</t>
  </si>
  <si>
    <t>Yêu cầu thực hiện các xét nghiệm cho bệnh nhân</t>
  </si>
  <si>
    <t>Đọc kết quả xét nghiệm</t>
  </si>
  <si>
    <t>Cho đơn thuốc</t>
  </si>
  <si>
    <t>Actor: là Nhân viên/ bác sĩ xét nghiệm, chụp phim, siêu âm</t>
  </si>
  <si>
    <t>Nhận các yêu cầu xét nghiệm từ phiếu yêu cầu của bác sĩ</t>
  </si>
  <si>
    <t>Actor: là Nhân viên kế toán</t>
  </si>
  <si>
    <t>Tính toán các chi phí khám chữa bệnh</t>
  </si>
  <si>
    <t>Xuất ra bảng chi phí khám bệnh</t>
  </si>
  <si>
    <t>Tính toán lương</t>
  </si>
  <si>
    <t>Actor: là Nhân viên quản trị hệ thống</t>
  </si>
  <si>
    <t>Nhắc lịch hẹn khi gần đến giờ cho tất cả người dùng</t>
  </si>
  <si>
    <t>In ra lịch sử thông tin của bệnh nhân</t>
  </si>
  <si>
    <t>Nhân viên xét nghiệm / chẩn đoán hình ảnh</t>
  </si>
  <si>
    <t>Nhân viên kế toán</t>
  </si>
  <si>
    <t>Hệ thống (nhắc lịch, in ấn, lưu trữ, phân quyền)</t>
  </si>
  <si>
    <t>Xem thông tin phòng khám: chuyên môn, bác sĩ, trang thiết bị, địa chỉ, hotline.</t>
  </si>
  <si>
    <t>Tạo/đăng nhập tài khoản để quản lý hồ sơ cá nhân và lịch sử bệnh.</t>
  </si>
  <si>
    <t>Đặt lịch khám trực tuyến: chọn bác sĩ + ngày giờ; hiển thị trạng thái lịch.</t>
  </si>
  <si>
    <t>Thay đổi hoặc hủy lịch hẹn (quy tắc: chỉ được thay đổi trước ≥ 2 giờ so với giờ khám).</t>
  </si>
  <si>
    <t>Nhận nhắc lịch hẹn (notification) khi sắp đến giờ.</t>
  </si>
  <si>
    <t>Đánh giá bác sĩ và dịch vụ sau khám.</t>
  </si>
  <si>
    <t>Xem lại lịch sử khám, kết quả xét nghiệm, đơn thuốc (khi đã có).</t>
  </si>
  <si>
    <t>Nhận và quản lý lịch đặt trực tuyến &amp; đặt tại quầy.</t>
  </si>
  <si>
    <t>Tạo / hủy / chuyển lịch hẹn giữa bệnh nhân — bác sĩ.</t>
  </si>
  <si>
    <t>Liên hệ (call/SMS) bệnh nhân khi cần.</t>
  </si>
  <si>
    <t>Xem/sửa thông tin bệnh nhân theo phân quyền.</t>
  </si>
  <si>
    <t>Dành cho bác sĩ:</t>
  </si>
  <si>
    <t>Cập nhật thông tin cá nhân và lịch làm việc.</t>
  </si>
  <si>
    <t>Xem thông tin cá nhân, lịch sử bệnh của bệnh nhân.</t>
  </si>
  <si>
    <t>Yêu cầu xét nghiệm/chụp phim/siêu âm; đọc kết quả; kê đơn thuốc.</t>
  </si>
  <si>
    <t>Thay đổi/hủy lịch hẹn khi cần (theo quyền hạn).</t>
  </si>
  <si>
    <t>Dành cho nhân viên xét nghiệm / chẩn đoán:</t>
  </si>
  <si>
    <t>Nhận phiếu yêu cầu xét nghiệm/chụp phim từ bác sĩ.</t>
  </si>
  <si>
    <t>Điền/ghi kết quả xét nghiệm, hình ảnh, báo cáo dạng điện tử liên kết với hồ sơ bệnh nhân.</t>
  </si>
  <si>
    <t>Dành cho nhân viên kế toán:</t>
  </si>
  <si>
    <t>Tính toán chi phí khám-chữa bệnh và xuất bảng chi phí cho bệnh nhân.</t>
  </si>
  <si>
    <t>Tính lương cho bác sĩ/nhân viên (theo chính sách).</t>
  </si>
  <si>
    <t>Chức năng hệ thống chung:</t>
  </si>
  <si>
    <t>Nhắc lịch hẹn cho tất cả người dùng (bệnh nhân + nhân viên liên quan).</t>
  </si>
  <si>
    <t>In/ xuất hồ sơ bệnh nhân, lịch sử khám khi cần.</t>
  </si>
  <si>
    <t>Quản lý phân quyền theo vai trò (RBAC).</t>
  </si>
  <si>
    <t>Lưu lịch sử thao tác / audit log (ghi lại thay đổi quan trọng).</t>
  </si>
  <si>
    <t>Bệnh nhân chỉ được thay đổi lịch hẹn nếu thao tác cách giờ khám ≥ 2 giờ.</t>
  </si>
  <si>
    <t>Tiếp tân xử lý cả lịch đặt online và đăng ký trực tiếp tại phòng khám.</t>
  </si>
  <si>
    <t>Các yêu cầu xét nghiệm/phim phải có phiếu yêu cầu từ bác sĩ để nhân viên xét nghiệm thực hiện.</t>
  </si>
  <si>
    <t>Kết quả xét nghiệm, đơn thuốc, hóa đơn phải liên kết rõ với hồ sơ bệnh nhân.</t>
  </si>
  <si>
    <t>Hỗ trợ mobile: Android &amp; iOS cho phần bệnh nhân; ứng dụng nhân viên (mobile hoặc web) tùy chọn.</t>
  </si>
  <si>
    <t>Bảo mật &amp; riêng tư dữ liệu y tế (quyền truy cập, mã hóa, sao lưu).</t>
  </si>
  <si>
    <t>Khả năng in ấn và xuất file (PDF) cho hồ sơ &amp; hóa đơn.</t>
  </si>
  <si>
    <t>Độ sẵn sàng cao cho module đặt lịch &amp; nhắc nhở; phản hồi tức thì khi thao tác lịch.</t>
  </si>
  <si>
    <t>Audit logs cho các thao tác: thay đổi lịch, kê đơn, cập nhật kết quả.</t>
  </si>
  <si>
    <t>Khả năng mở rộng (số bác sĩ, bệnh nhân, dữ liệu xét nghiệm tăng theo thời gian).</t>
  </si>
  <si>
    <t>Tích hợp thông báo: push/SMS/email (tùy hạ tầng).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</si>
  <si>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</si>
  <si>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</si>
  <si>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</si>
  <si>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</si>
  <si>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</si>
  <si>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</si>
  <si>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</si>
  <si>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</si>
  <si>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</si>
  <si>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Thay đổi lịch hẹn của bác sĩ</t>
  </si>
  <si>
    <t>Hủy lịch hẹn của bác sĩ</t>
  </si>
  <si>
    <t>Hưng</t>
  </si>
  <si>
    <t>DangQuocHung1304 (Đặng Quốc Hưng)</t>
  </si>
  <si>
    <t>Product Owner, ScrumMaster, Team Lead, Dev</t>
  </si>
  <si>
    <t>I. Vai trò (actors)</t>
  </si>
  <si>
    <t>II. Yêu cầu chức năng chính (functional)</t>
  </si>
  <si>
    <t>III. Quy tắc nghiệp vụ quan trọng</t>
  </si>
  <si>
    <t>IV. Yêu cầu phi chức năng</t>
  </si>
  <si>
    <t>Bệnh nhân / người dùng</t>
  </si>
  <si>
    <t>Nhân viên tiếp tân</t>
  </si>
  <si>
    <t>Bác sĩ</t>
  </si>
  <si>
    <t>Dành cho bệnh nhân:</t>
  </si>
  <si>
    <t>Gọi trực tiếp tới hotline phòng khám từ Web.</t>
  </si>
  <si>
    <t>Dành cho tiếp tân (staff web):</t>
  </si>
  <si>
    <t>Xem thông tin bác sĩ</t>
  </si>
  <si>
    <t>Xem thông tin chuyên khoa phòng khám</t>
  </si>
  <si>
    <t>Quản lý thông tin ca xét nghiệm</t>
  </si>
  <si>
    <t>Xem thông tin phòng khám</t>
  </si>
  <si>
    <t>Xem bảng giá phòng khám</t>
  </si>
  <si>
    <t>Xem thông tin lịch khám</t>
  </si>
  <si>
    <t>Xem thông tin hướng dẫn khám bệnh</t>
  </si>
  <si>
    <t>Xem các bài viết tin tức về kiến thức y tế</t>
  </si>
  <si>
    <t>Tra cứu thông tin đặt lịch khám của khách hàng</t>
  </si>
  <si>
    <t>17/9/2025</t>
  </si>
  <si>
    <t>30/9/2025</t>
  </si>
  <si>
    <t>26/9/2025</t>
  </si>
  <si>
    <t>27/9/2025</t>
  </si>
  <si>
    <t>28/9/2025</t>
  </si>
  <si>
    <t>29/9/2025</t>
  </si>
  <si>
    <t>410/2025</t>
  </si>
  <si>
    <t>15/10/2025</t>
  </si>
  <si>
    <t>13/10/2025</t>
  </si>
  <si>
    <t>14/10/2025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</si>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</sst>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  <charset val="163"/>
    </font>
    <font>
      <sz val="12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D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2" fillId="6" borderId="6" xfId="0" applyFont="1" applyFill="1" applyBorder="1"/>
    <xf numFmtId="15" fontId="0" fillId="0" borderId="6" xfId="0" applyNumberFormat="1" applyBorder="1"/>
    <xf numFmtId="0" fontId="4" fillId="4" borderId="6" xfId="0" applyFont="1" applyFill="1" applyBorder="1"/>
    <xf numFmtId="0" fontId="0" fillId="5" borderId="6" xfId="0" applyFill="1" applyBorder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9" xfId="0" applyBorder="1"/>
    <xf numFmtId="0" fontId="2" fillId="6" borderId="7" xfId="0" applyFont="1" applyFill="1" applyBorder="1"/>
    <xf numFmtId="0" fontId="0" fillId="2" borderId="7" xfId="0" applyFill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2" borderId="2" xfId="0" applyFill="1" applyBorder="1"/>
    <xf numFmtId="0" fontId="2" fillId="2" borderId="7" xfId="0" applyFont="1" applyFill="1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2" fillId="6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6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8" xfId="0" applyFill="1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8" fillId="0" borderId="0" xfId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15" fontId="0" fillId="0" borderId="6" xfId="0" applyNumberFormat="1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" xfId="0" applyFill="1" applyBorder="1" applyAlignment="1">
      <alignment horizontal="left"/>
    </xf>
    <xf numFmtId="0" fontId="0" fillId="0" borderId="20" xfId="0" applyBorder="1"/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9" borderId="8" xfId="0" applyFill="1" applyBorder="1"/>
    <xf numFmtId="0" fontId="0" fillId="9" borderId="11" xfId="0" applyFill="1" applyBorder="1"/>
    <xf numFmtId="0" fontId="0" fillId="10" borderId="8" xfId="0" applyFill="1" applyBorder="1"/>
    <xf numFmtId="14" fontId="0" fillId="0" borderId="6" xfId="0" applyNumberFormat="1" applyBorder="1" applyAlignment="1">
      <alignment horizontal="left" vertical="center"/>
    </xf>
    <xf numFmtId="0" fontId="0" fillId="11" borderId="8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12" xfId="0" applyFill="1" applyBorder="1"/>
    <xf numFmtId="14" fontId="0" fillId="0" borderId="6" xfId="0" applyNumberFormat="1" applyBorder="1" applyAlignment="1">
      <alignment horizontal="left"/>
    </xf>
    <xf numFmtId="14" fontId="0" fillId="0" borderId="23" xfId="0" applyNumberFormat="1" applyBorder="1" applyAlignment="1">
      <alignment horizontal="left"/>
    </xf>
    <xf numFmtId="0" fontId="6" fillId="0" borderId="13" xfId="0" applyFont="1" applyBorder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6" fillId="0" borderId="14" xfId="0" applyFont="1" applyBorder="1" applyAlignment="1">
      <alignment horizontal="left" vertical="center" indent="2"/>
    </xf>
    <xf numFmtId="0" fontId="7" fillId="0" borderId="13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4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 indent="2"/>
    </xf>
    <xf numFmtId="0" fontId="6" fillId="0" borderId="16" xfId="0" applyFont="1" applyBorder="1" applyAlignment="1">
      <alignment horizontal="left" vertical="center" indent="2"/>
    </xf>
    <xf numFmtId="0" fontId="2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9D9"/>
      <color rgb="FF00B050"/>
      <color rgb="FFCCFFCC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DangQuocHung13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3"/>
  <sheetViews>
    <sheetView zoomScale="116" workbookViewId="0">
      <selection activeCell="C54" sqref="C54"/>
    </sheetView>
  </sheetViews>
  <sheetFormatPr defaultColWidth="8.85546875" defaultRowHeight="12.75" x14ac:dyDescent="0.2"/>
  <sheetData>
    <row r="2" spans="2:14" x14ac:dyDescent="0.2">
      <c r="B2" s="10" t="s">
        <v>0</v>
      </c>
    </row>
    <row r="3" spans="2:14" ht="18" x14ac:dyDescent="0.2">
      <c r="B3" s="73" t="s">
        <v>111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</row>
    <row r="4" spans="2:14" ht="15" x14ac:dyDescent="0.2">
      <c r="B4" s="64" t="s">
        <v>115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  <c r="N4" s="29"/>
    </row>
    <row r="5" spans="2:14" ht="15" x14ac:dyDescent="0.2">
      <c r="B5" s="64" t="s">
        <v>116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6"/>
      <c r="N5" s="29"/>
    </row>
    <row r="6" spans="2:14" ht="15" x14ac:dyDescent="0.2">
      <c r="B6" s="64" t="s">
        <v>117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  <c r="N6" s="29"/>
    </row>
    <row r="7" spans="2:14" ht="15" x14ac:dyDescent="0.2">
      <c r="B7" s="64" t="s">
        <v>56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6"/>
      <c r="N7" s="29"/>
    </row>
    <row r="8" spans="2:14" ht="15" x14ac:dyDescent="0.2">
      <c r="B8" s="64" t="s">
        <v>57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6"/>
      <c r="N8" s="29"/>
    </row>
    <row r="9" spans="2:14" ht="15" x14ac:dyDescent="0.2">
      <c r="B9" s="64" t="s">
        <v>58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6"/>
      <c r="N9" s="29"/>
    </row>
    <row r="10" spans="2:14" ht="18" x14ac:dyDescent="0.2">
      <c r="B10" s="76" t="s">
        <v>112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8"/>
      <c r="N10" s="29"/>
    </row>
    <row r="11" spans="2:14" ht="15" x14ac:dyDescent="0.2">
      <c r="B11" s="67" t="s">
        <v>118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9"/>
      <c r="N11" s="29"/>
    </row>
    <row r="12" spans="2:14" ht="15" x14ac:dyDescent="0.2">
      <c r="B12" s="64" t="s">
        <v>59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29"/>
    </row>
    <row r="13" spans="2:14" ht="15" x14ac:dyDescent="0.2">
      <c r="B13" s="64" t="s">
        <v>60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29"/>
    </row>
    <row r="14" spans="2:14" ht="15" x14ac:dyDescent="0.2">
      <c r="B14" s="64" t="s">
        <v>61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29"/>
    </row>
    <row r="15" spans="2:14" ht="15" x14ac:dyDescent="0.2">
      <c r="B15" s="64" t="s">
        <v>62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29"/>
    </row>
    <row r="16" spans="2:14" ht="15" x14ac:dyDescent="0.2">
      <c r="B16" s="64" t="s">
        <v>63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29"/>
    </row>
    <row r="17" spans="2:14" ht="15" x14ac:dyDescent="0.2">
      <c r="B17" s="64" t="s">
        <v>119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29"/>
    </row>
    <row r="18" spans="2:14" ht="15" x14ac:dyDescent="0.2">
      <c r="B18" s="64" t="s">
        <v>64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29"/>
    </row>
    <row r="19" spans="2:14" ht="15" x14ac:dyDescent="0.2">
      <c r="B19" s="64" t="s">
        <v>65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29"/>
    </row>
    <row r="20" spans="2:14" ht="15" x14ac:dyDescent="0.2">
      <c r="B20" s="67" t="s">
        <v>120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9"/>
    </row>
    <row r="21" spans="2:14" ht="15" x14ac:dyDescent="0.2">
      <c r="B21" s="64" t="s">
        <v>66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6"/>
    </row>
    <row r="22" spans="2:14" ht="15" x14ac:dyDescent="0.2">
      <c r="B22" s="64" t="s">
        <v>67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</row>
    <row r="23" spans="2:14" ht="15" x14ac:dyDescent="0.2">
      <c r="B23" s="64" t="s">
        <v>68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6"/>
    </row>
    <row r="24" spans="2:14" ht="15" x14ac:dyDescent="0.2">
      <c r="B24" s="64" t="s">
        <v>69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6"/>
    </row>
    <row r="25" spans="2:14" ht="15" x14ac:dyDescent="0.2">
      <c r="B25" s="67" t="s">
        <v>70</v>
      </c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</row>
    <row r="26" spans="2:14" ht="15" x14ac:dyDescent="0.2">
      <c r="B26" s="64" t="s">
        <v>71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</row>
    <row r="27" spans="2:14" ht="15" x14ac:dyDescent="0.2">
      <c r="B27" s="64" t="s">
        <v>72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</row>
    <row r="28" spans="2:14" ht="15" x14ac:dyDescent="0.2">
      <c r="B28" s="64" t="s">
        <v>73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</row>
    <row r="29" spans="2:14" ht="15" x14ac:dyDescent="0.2">
      <c r="B29" s="64" t="s">
        <v>74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6"/>
    </row>
    <row r="30" spans="2:14" ht="15" x14ac:dyDescent="0.2">
      <c r="B30" s="67" t="s">
        <v>75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9"/>
    </row>
    <row r="31" spans="2:14" ht="15" x14ac:dyDescent="0.2">
      <c r="B31" s="64" t="s">
        <v>76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2:14" ht="15" x14ac:dyDescent="0.2">
      <c r="B32" s="64" t="s">
        <v>77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6"/>
    </row>
    <row r="33" spans="2:13" ht="15" x14ac:dyDescent="0.2">
      <c r="B33" s="67" t="s">
        <v>78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</row>
    <row r="34" spans="2:13" ht="15" x14ac:dyDescent="0.2">
      <c r="B34" s="64" t="s">
        <v>79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</row>
    <row r="35" spans="2:13" ht="15" x14ac:dyDescent="0.2">
      <c r="B35" s="64" t="s">
        <v>80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6"/>
    </row>
    <row r="36" spans="2:13" ht="15" x14ac:dyDescent="0.2">
      <c r="B36" s="67" t="s">
        <v>81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2:13" ht="15" x14ac:dyDescent="0.2">
      <c r="B37" s="64" t="s">
        <v>82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15" x14ac:dyDescent="0.2">
      <c r="B38" s="64" t="s">
        <v>83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6"/>
    </row>
    <row r="39" spans="2:13" ht="15" x14ac:dyDescent="0.2">
      <c r="B39" s="64" t="s">
        <v>84</v>
      </c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</row>
    <row r="40" spans="2:13" ht="15" x14ac:dyDescent="0.2">
      <c r="B40" s="64" t="s">
        <v>85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</row>
    <row r="41" spans="2:13" ht="18" x14ac:dyDescent="0.2">
      <c r="B41" s="70" t="s">
        <v>113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2:13" ht="15" x14ac:dyDescent="0.2">
      <c r="B42" s="64" t="s">
        <v>86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</row>
    <row r="43" spans="2:13" ht="15" x14ac:dyDescent="0.2">
      <c r="B43" s="64" t="s">
        <v>87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6"/>
    </row>
    <row r="44" spans="2:13" ht="15" x14ac:dyDescent="0.2">
      <c r="B44" s="64" t="s">
        <v>88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6"/>
    </row>
    <row r="45" spans="2:13" ht="15" x14ac:dyDescent="0.2">
      <c r="B45" s="64" t="s">
        <v>89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6"/>
    </row>
    <row r="46" spans="2:13" ht="18" x14ac:dyDescent="0.2">
      <c r="B46" s="70" t="s">
        <v>114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2"/>
    </row>
    <row r="47" spans="2:13" ht="15" x14ac:dyDescent="0.2">
      <c r="B47" s="64" t="s">
        <v>90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15" x14ac:dyDescent="0.2">
      <c r="B48" s="64" t="s">
        <v>91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6"/>
    </row>
    <row r="49" spans="2:13" ht="15" x14ac:dyDescent="0.2">
      <c r="B49" s="64" t="s">
        <v>92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6"/>
    </row>
    <row r="50" spans="2:13" ht="15" x14ac:dyDescent="0.2">
      <c r="B50" s="64" t="s">
        <v>93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6"/>
    </row>
    <row r="51" spans="2:13" ht="15" x14ac:dyDescent="0.2">
      <c r="B51" s="64" t="s">
        <v>94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6"/>
    </row>
    <row r="52" spans="2:13" ht="15" x14ac:dyDescent="0.2">
      <c r="B52" s="64" t="s">
        <v>95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6"/>
    </row>
    <row r="53" spans="2:13" ht="15" x14ac:dyDescent="0.2">
      <c r="B53" s="79" t="s">
        <v>96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1"/>
    </row>
  </sheetData>
  <mergeCells count="51">
    <mergeCell ref="B50:M50"/>
    <mergeCell ref="B51:M51"/>
    <mergeCell ref="B52:M52"/>
    <mergeCell ref="B53:M53"/>
    <mergeCell ref="B44:M44"/>
    <mergeCell ref="B45:M45"/>
    <mergeCell ref="B47:M47"/>
    <mergeCell ref="B48:M48"/>
    <mergeCell ref="B49:M49"/>
    <mergeCell ref="B46:M46"/>
    <mergeCell ref="B24:M24"/>
    <mergeCell ref="B26:M26"/>
    <mergeCell ref="B27:M27"/>
    <mergeCell ref="B28:M28"/>
    <mergeCell ref="B29:M29"/>
    <mergeCell ref="B25:M25"/>
    <mergeCell ref="B18:M18"/>
    <mergeCell ref="B19:M19"/>
    <mergeCell ref="B21:M21"/>
    <mergeCell ref="B22:M22"/>
    <mergeCell ref="B23:M23"/>
    <mergeCell ref="B3:M3"/>
    <mergeCell ref="B10:M10"/>
    <mergeCell ref="B11:M11"/>
    <mergeCell ref="B20:M20"/>
    <mergeCell ref="B4:M4"/>
    <mergeCell ref="B5:M5"/>
    <mergeCell ref="B6:M6"/>
    <mergeCell ref="B7:M7"/>
    <mergeCell ref="B8:M8"/>
    <mergeCell ref="B9:M9"/>
    <mergeCell ref="B12:M12"/>
    <mergeCell ref="B13:M13"/>
    <mergeCell ref="B14:M14"/>
    <mergeCell ref="B15:M15"/>
    <mergeCell ref="B16:M16"/>
    <mergeCell ref="B17:M17"/>
    <mergeCell ref="B42:M42"/>
    <mergeCell ref="B43:M43"/>
    <mergeCell ref="B30:M30"/>
    <mergeCell ref="B33:M33"/>
    <mergeCell ref="B36:M36"/>
    <mergeCell ref="B41:M41"/>
    <mergeCell ref="B31:M31"/>
    <mergeCell ref="B32:M32"/>
    <mergeCell ref="B34:M34"/>
    <mergeCell ref="B35:M35"/>
    <mergeCell ref="B37:M37"/>
    <mergeCell ref="B38:M38"/>
    <mergeCell ref="B39:M39"/>
    <mergeCell ref="B40:M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E4" sqref="E4"/>
    </sheetView>
  </sheetViews>
  <sheetFormatPr defaultColWidth="8.85546875" defaultRowHeight="12.75" x14ac:dyDescent="0.2"/>
  <cols>
    <col min="1" max="1" width="4.28515625" customWidth="1"/>
    <col min="2" max="2" width="20.42578125" bestFit="1" customWidth="1"/>
    <col min="3" max="3" width="34.42578125" customWidth="1"/>
    <col min="4" max="4" width="16.28515625" bestFit="1" customWidth="1"/>
    <col min="5" max="253" width="11.42578125" customWidth="1"/>
  </cols>
  <sheetData>
    <row r="1" spans="1:6" x14ac:dyDescent="0.2">
      <c r="A1" s="82" t="s">
        <v>1</v>
      </c>
      <c r="B1" s="82"/>
      <c r="C1" s="82"/>
      <c r="D1" s="82"/>
      <c r="E1" s="82"/>
      <c r="F1" s="82"/>
    </row>
    <row r="3" spans="1:6" x14ac:dyDescent="0.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s="29" customFormat="1" ht="38.25" x14ac:dyDescent="0.2">
      <c r="A4" s="40">
        <v>1</v>
      </c>
      <c r="B4" s="41" t="s">
        <v>21</v>
      </c>
      <c r="C4" s="42" t="s">
        <v>109</v>
      </c>
      <c r="D4" s="43" t="s">
        <v>110</v>
      </c>
      <c r="E4" s="44" t="s">
        <v>130</v>
      </c>
      <c r="F4" s="41"/>
    </row>
    <row r="5" spans="1:6" x14ac:dyDescent="0.2">
      <c r="A5" s="4"/>
      <c r="B5" s="4"/>
      <c r="C5" s="4"/>
      <c r="D5" s="4"/>
      <c r="E5" s="7"/>
      <c r="F5" s="4"/>
    </row>
    <row r="6" spans="1:6" x14ac:dyDescent="0.2">
      <c r="A6" s="4"/>
      <c r="B6" s="4"/>
      <c r="C6" s="4"/>
      <c r="D6" s="4"/>
      <c r="E6" s="7"/>
      <c r="F6" s="4"/>
    </row>
    <row r="7" spans="1:6" x14ac:dyDescent="0.2">
      <c r="A7" s="4"/>
      <c r="B7" s="4"/>
      <c r="C7" s="4"/>
      <c r="D7" s="4"/>
      <c r="E7" s="7"/>
      <c r="F7" s="4"/>
    </row>
    <row r="8" spans="1:6" x14ac:dyDescent="0.2">
      <c r="A8" s="4"/>
      <c r="B8" s="4"/>
      <c r="C8" s="4"/>
      <c r="D8" s="4"/>
      <c r="E8" s="7"/>
      <c r="F8" s="4"/>
    </row>
    <row r="9" spans="1:6" s="2" customFormat="1" x14ac:dyDescent="0.2">
      <c r="A9" s="9"/>
      <c r="B9" s="9"/>
      <c r="C9" s="9"/>
      <c r="D9" s="9"/>
      <c r="E9" s="7"/>
      <c r="F9" s="9"/>
    </row>
    <row r="10" spans="1:6" s="2" customFormat="1" x14ac:dyDescent="0.2">
      <c r="A10" s="9"/>
      <c r="B10" s="9"/>
      <c r="C10" s="9"/>
      <c r="D10" s="9"/>
      <c r="E10" s="7"/>
      <c r="F10" s="9"/>
    </row>
  </sheetData>
  <mergeCells count="1">
    <mergeCell ref="A1:F1"/>
  </mergeCells>
  <hyperlinks>
    <hyperlink ref="C4" r:id="rId1" display="https://github.com/DangQuocHung1304" xr:uid="{D90331D4-F4AE-4EB8-A92B-55A23651EAAF}"/>
  </hyperlinks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9"/>
  <sheetViews>
    <sheetView topLeftCell="B1" zoomScale="141" zoomScaleNormal="100" workbookViewId="0">
      <pane ySplit="4" topLeftCell="A17" activePane="bottomLeft" state="frozen"/>
      <selection pane="bottomLeft" activeCell="C38" sqref="C38"/>
    </sheetView>
  </sheetViews>
  <sheetFormatPr defaultColWidth="8.85546875" defaultRowHeight="15" customHeight="1" x14ac:dyDescent="0.2"/>
  <cols>
    <col min="2" max="2" width="10" bestFit="1" customWidth="1"/>
    <col min="3" max="3" width="67.28515625" customWidth="1"/>
    <col min="4" max="4" width="11" customWidth="1"/>
  </cols>
  <sheetData>
    <row r="1" spans="2:8" ht="15" customHeight="1" x14ac:dyDescent="0.25">
      <c r="C1" s="3" t="s">
        <v>19</v>
      </c>
    </row>
    <row r="2" spans="2:8" ht="15" customHeight="1" thickBot="1" x14ac:dyDescent="0.25">
      <c r="B2" s="1"/>
      <c r="C2" s="5"/>
      <c r="D2" s="1"/>
    </row>
    <row r="3" spans="2:8" ht="15" customHeight="1" thickBot="1" x14ac:dyDescent="0.25">
      <c r="B3" s="22" t="s">
        <v>8</v>
      </c>
      <c r="C3" s="14" t="s">
        <v>9</v>
      </c>
      <c r="D3" s="28" t="s">
        <v>10</v>
      </c>
    </row>
    <row r="4" spans="2:8" ht="13.5" thickBot="1" x14ac:dyDescent="0.25">
      <c r="B4" s="23"/>
      <c r="C4" s="20"/>
      <c r="D4" s="13">
        <f>SUM(D6:D49)</f>
        <v>107</v>
      </c>
    </row>
    <row r="5" spans="2:8" ht="15" customHeight="1" thickBot="1" x14ac:dyDescent="0.25">
      <c r="B5" s="24"/>
      <c r="C5" s="19" t="s">
        <v>22</v>
      </c>
      <c r="D5" s="18"/>
      <c r="F5" s="58" t="s">
        <v>18</v>
      </c>
    </row>
    <row r="6" spans="2:8" ht="15" customHeight="1" x14ac:dyDescent="0.2">
      <c r="B6" s="25">
        <v>1</v>
      </c>
      <c r="C6" s="16" t="s">
        <v>23</v>
      </c>
      <c r="D6" s="54">
        <v>2</v>
      </c>
      <c r="F6" s="59" t="s">
        <v>97</v>
      </c>
    </row>
    <row r="7" spans="2:8" ht="15" customHeight="1" x14ac:dyDescent="0.2">
      <c r="B7" s="26">
        <f>B6+1</f>
        <v>2</v>
      </c>
      <c r="C7" t="s">
        <v>124</v>
      </c>
      <c r="D7" s="53">
        <v>2</v>
      </c>
      <c r="F7" s="60" t="s">
        <v>98</v>
      </c>
      <c r="H7" s="11"/>
    </row>
    <row r="8" spans="2:8" ht="15" customHeight="1" x14ac:dyDescent="0.2">
      <c r="B8" s="26">
        <f t="shared" ref="B8:B22" si="0">B7+1</f>
        <v>3</v>
      </c>
      <c r="C8" s="45" t="s">
        <v>121</v>
      </c>
      <c r="D8" s="53">
        <v>2</v>
      </c>
      <c r="H8" s="11"/>
    </row>
    <row r="9" spans="2:8" ht="15" customHeight="1" x14ac:dyDescent="0.2">
      <c r="B9" s="26">
        <f t="shared" si="0"/>
        <v>4</v>
      </c>
      <c r="C9" s="45" t="s">
        <v>122</v>
      </c>
      <c r="D9" s="53">
        <v>2</v>
      </c>
      <c r="H9" s="11"/>
    </row>
    <row r="10" spans="2:8" ht="15" customHeight="1" x14ac:dyDescent="0.2">
      <c r="B10" s="26">
        <f t="shared" si="0"/>
        <v>5</v>
      </c>
      <c r="C10" s="45" t="s">
        <v>126</v>
      </c>
      <c r="D10" s="55">
        <v>2</v>
      </c>
      <c r="H10" s="11"/>
    </row>
    <row r="11" spans="2:8" ht="15" customHeight="1" x14ac:dyDescent="0.2">
      <c r="B11" s="26">
        <f t="shared" si="0"/>
        <v>6</v>
      </c>
      <c r="C11" s="45" t="s">
        <v>125</v>
      </c>
      <c r="D11" s="55">
        <v>2</v>
      </c>
      <c r="H11" s="11"/>
    </row>
    <row r="12" spans="2:8" ht="15" customHeight="1" x14ac:dyDescent="0.2">
      <c r="B12" s="26">
        <f t="shared" si="0"/>
        <v>7</v>
      </c>
      <c r="C12" s="45" t="s">
        <v>127</v>
      </c>
      <c r="D12" s="55">
        <v>2</v>
      </c>
      <c r="H12" s="11"/>
    </row>
    <row r="13" spans="2:8" ht="15" customHeight="1" x14ac:dyDescent="0.2">
      <c r="B13" s="26">
        <f t="shared" si="0"/>
        <v>8</v>
      </c>
      <c r="C13" s="45" t="s">
        <v>128</v>
      </c>
      <c r="D13" s="55">
        <v>3</v>
      </c>
      <c r="H13" s="11"/>
    </row>
    <row r="14" spans="2:8" ht="15" customHeight="1" x14ac:dyDescent="0.2">
      <c r="B14" s="26">
        <f t="shared" si="0"/>
        <v>9</v>
      </c>
      <c r="C14" s="12" t="s">
        <v>24</v>
      </c>
      <c r="D14" s="53">
        <v>2</v>
      </c>
    </row>
    <row r="15" spans="2:8" ht="15" customHeight="1" x14ac:dyDescent="0.2">
      <c r="B15" s="26">
        <f t="shared" si="0"/>
        <v>10</v>
      </c>
      <c r="C15" s="12" t="s">
        <v>25</v>
      </c>
      <c r="D15" s="53">
        <v>4</v>
      </c>
    </row>
    <row r="16" spans="2:8" ht="15" customHeight="1" x14ac:dyDescent="0.2">
      <c r="B16" s="26">
        <f t="shared" si="0"/>
        <v>11</v>
      </c>
      <c r="C16" s="12" t="s">
        <v>26</v>
      </c>
      <c r="D16" s="53">
        <v>2</v>
      </c>
    </row>
    <row r="17" spans="2:4" ht="15" customHeight="1" x14ac:dyDescent="0.2">
      <c r="B17" s="26">
        <f t="shared" si="0"/>
        <v>12</v>
      </c>
      <c r="C17" s="12" t="s">
        <v>27</v>
      </c>
      <c r="D17" s="38">
        <v>2</v>
      </c>
    </row>
    <row r="18" spans="2:4" ht="15" customHeight="1" x14ac:dyDescent="0.2">
      <c r="B18" s="26">
        <f t="shared" si="0"/>
        <v>13</v>
      </c>
      <c r="C18" s="12" t="s">
        <v>28</v>
      </c>
      <c r="D18" s="55">
        <v>2</v>
      </c>
    </row>
    <row r="19" spans="2:4" ht="15" customHeight="1" x14ac:dyDescent="0.2">
      <c r="B19" s="26">
        <f t="shared" si="0"/>
        <v>14</v>
      </c>
      <c r="C19" s="35" t="s">
        <v>29</v>
      </c>
      <c r="D19" s="36">
        <v>6</v>
      </c>
    </row>
    <row r="20" spans="2:4" ht="15" customHeight="1" x14ac:dyDescent="0.2">
      <c r="B20" s="26">
        <f t="shared" si="0"/>
        <v>15</v>
      </c>
      <c r="C20" s="35" t="s">
        <v>30</v>
      </c>
      <c r="D20" s="36">
        <v>5</v>
      </c>
    </row>
    <row r="21" spans="2:4" ht="15" customHeight="1" x14ac:dyDescent="0.2">
      <c r="B21" s="26">
        <f t="shared" si="0"/>
        <v>16</v>
      </c>
      <c r="C21" s="12" t="s">
        <v>31</v>
      </c>
      <c r="D21" s="57">
        <v>2</v>
      </c>
    </row>
    <row r="22" spans="2:4" ht="15" customHeight="1" thickBot="1" x14ac:dyDescent="0.25">
      <c r="B22" s="26">
        <f t="shared" si="0"/>
        <v>17</v>
      </c>
      <c r="C22" s="17" t="s">
        <v>32</v>
      </c>
      <c r="D22" s="61">
        <v>2</v>
      </c>
    </row>
    <row r="23" spans="2:4" ht="15" customHeight="1" thickBot="1" x14ac:dyDescent="0.25">
      <c r="B23" s="24"/>
      <c r="C23" s="19" t="s">
        <v>33</v>
      </c>
      <c r="D23" s="15"/>
    </row>
    <row r="24" spans="2:4" ht="15" customHeight="1" x14ac:dyDescent="0.2">
      <c r="B24" s="25">
        <v>1</v>
      </c>
      <c r="C24" s="21" t="s">
        <v>34</v>
      </c>
      <c r="D24" s="37">
        <v>3</v>
      </c>
    </row>
    <row r="25" spans="2:4" ht="15" customHeight="1" x14ac:dyDescent="0.2">
      <c r="B25" s="26">
        <f>B24+1</f>
        <v>2</v>
      </c>
      <c r="C25" s="46" t="s">
        <v>129</v>
      </c>
      <c r="D25" s="38">
        <v>4</v>
      </c>
    </row>
    <row r="26" spans="2:4" ht="15" customHeight="1" x14ac:dyDescent="0.2">
      <c r="B26" s="26">
        <f t="shared" ref="B26:B30" si="1">B25+1</f>
        <v>3</v>
      </c>
      <c r="C26" s="12" t="s">
        <v>35</v>
      </c>
      <c r="D26" s="38">
        <v>4</v>
      </c>
    </row>
    <row r="27" spans="2:4" ht="15" customHeight="1" x14ac:dyDescent="0.2">
      <c r="B27" s="26">
        <f t="shared" si="1"/>
        <v>4</v>
      </c>
      <c r="C27" s="12" t="s">
        <v>36</v>
      </c>
      <c r="D27" s="55">
        <v>3</v>
      </c>
    </row>
    <row r="28" spans="2:4" ht="15" customHeight="1" x14ac:dyDescent="0.2">
      <c r="B28" s="26">
        <f t="shared" si="1"/>
        <v>5</v>
      </c>
      <c r="C28" s="12" t="s">
        <v>37</v>
      </c>
      <c r="D28" s="55">
        <v>1</v>
      </c>
    </row>
    <row r="29" spans="2:4" ht="15" customHeight="1" x14ac:dyDescent="0.2">
      <c r="B29" s="26">
        <f t="shared" si="1"/>
        <v>6</v>
      </c>
      <c r="C29" s="12" t="s">
        <v>38</v>
      </c>
      <c r="D29" s="55">
        <v>3</v>
      </c>
    </row>
    <row r="30" spans="2:4" ht="15" customHeight="1" thickBot="1" x14ac:dyDescent="0.25">
      <c r="B30" s="26">
        <f t="shared" si="1"/>
        <v>7</v>
      </c>
      <c r="C30" s="35" t="s">
        <v>39</v>
      </c>
      <c r="D30" s="36">
        <v>5</v>
      </c>
    </row>
    <row r="31" spans="2:4" ht="15" customHeight="1" thickBot="1" x14ac:dyDescent="0.25">
      <c r="B31" s="24"/>
      <c r="C31" s="19" t="s">
        <v>40</v>
      </c>
      <c r="D31" s="15"/>
    </row>
    <row r="32" spans="2:4" ht="15" customHeight="1" x14ac:dyDescent="0.2">
      <c r="B32" s="25">
        <v>1</v>
      </c>
      <c r="C32" s="12" t="s">
        <v>41</v>
      </c>
      <c r="D32" s="37">
        <v>2</v>
      </c>
    </row>
    <row r="33" spans="2:4" ht="15" customHeight="1" x14ac:dyDescent="0.2">
      <c r="B33" s="26">
        <f>B32+1</f>
        <v>2</v>
      </c>
      <c r="C33" s="12" t="s">
        <v>42</v>
      </c>
      <c r="D33" s="38">
        <v>2</v>
      </c>
    </row>
    <row r="34" spans="2:4" ht="15" customHeight="1" x14ac:dyDescent="0.2">
      <c r="B34" s="26">
        <f t="shared" ref="B34:B39" si="2">B33+1</f>
        <v>3</v>
      </c>
      <c r="C34" s="12" t="s">
        <v>106</v>
      </c>
      <c r="D34" s="57">
        <v>3</v>
      </c>
    </row>
    <row r="35" spans="2:4" ht="15" customHeight="1" x14ac:dyDescent="0.2">
      <c r="B35" s="26">
        <f t="shared" si="2"/>
        <v>4</v>
      </c>
      <c r="C35" s="12" t="s">
        <v>107</v>
      </c>
      <c r="D35" s="57">
        <v>2</v>
      </c>
    </row>
    <row r="36" spans="2:4" ht="15" customHeight="1" x14ac:dyDescent="0.2">
      <c r="B36" s="26">
        <f t="shared" si="2"/>
        <v>5</v>
      </c>
      <c r="C36" s="12" t="s">
        <v>43</v>
      </c>
      <c r="D36" s="38">
        <v>2</v>
      </c>
    </row>
    <row r="37" spans="2:4" ht="15" customHeight="1" x14ac:dyDescent="0.2">
      <c r="B37" s="26">
        <f t="shared" si="2"/>
        <v>6</v>
      </c>
      <c r="C37" s="12" t="s">
        <v>44</v>
      </c>
      <c r="D37" s="38">
        <v>3</v>
      </c>
    </row>
    <row r="38" spans="2:4" ht="15" customHeight="1" x14ac:dyDescent="0.2">
      <c r="B38" s="26">
        <f t="shared" si="2"/>
        <v>7</v>
      </c>
      <c r="C38" s="12" t="s">
        <v>45</v>
      </c>
      <c r="D38" s="38">
        <v>2</v>
      </c>
    </row>
    <row r="39" spans="2:4" ht="15" customHeight="1" thickBot="1" x14ac:dyDescent="0.25">
      <c r="B39" s="26">
        <f t="shared" si="2"/>
        <v>8</v>
      </c>
      <c r="C39" s="12" t="s">
        <v>46</v>
      </c>
      <c r="D39" s="39">
        <v>3</v>
      </c>
    </row>
    <row r="40" spans="2:4" ht="15" customHeight="1" thickBot="1" x14ac:dyDescent="0.25">
      <c r="B40" s="24"/>
      <c r="C40" s="19" t="s">
        <v>47</v>
      </c>
      <c r="D40" s="15"/>
    </row>
    <row r="41" spans="2:4" ht="15" customHeight="1" x14ac:dyDescent="0.2">
      <c r="B41" s="26">
        <v>1</v>
      </c>
      <c r="C41" s="12" t="s">
        <v>48</v>
      </c>
      <c r="D41" s="37">
        <v>2</v>
      </c>
    </row>
    <row r="42" spans="2:4" ht="15" customHeight="1" thickBot="1" x14ac:dyDescent="0.25">
      <c r="B42" s="26">
        <f>B41+1</f>
        <v>2</v>
      </c>
      <c r="C42" s="47" t="s">
        <v>123</v>
      </c>
      <c r="D42" s="39">
        <v>2</v>
      </c>
    </row>
    <row r="43" spans="2:4" ht="15" customHeight="1" thickBot="1" x14ac:dyDescent="0.25">
      <c r="B43" s="24"/>
      <c r="C43" s="19" t="s">
        <v>49</v>
      </c>
      <c r="D43" s="15"/>
    </row>
    <row r="44" spans="2:4" ht="15" customHeight="1" x14ac:dyDescent="0.2">
      <c r="B44" s="25">
        <v>1</v>
      </c>
      <c r="C44" s="12" t="s">
        <v>50</v>
      </c>
      <c r="D44" s="37">
        <v>5</v>
      </c>
    </row>
    <row r="45" spans="2:4" ht="15" customHeight="1" x14ac:dyDescent="0.2">
      <c r="B45" s="26">
        <f>B44+1</f>
        <v>2</v>
      </c>
      <c r="C45" t="s">
        <v>51</v>
      </c>
      <c r="D45" s="38">
        <v>2</v>
      </c>
    </row>
    <row r="46" spans="2:4" ht="15" customHeight="1" thickBot="1" x14ac:dyDescent="0.25">
      <c r="B46" s="26">
        <f>B45+1</f>
        <v>3</v>
      </c>
      <c r="C46" s="12" t="s">
        <v>52</v>
      </c>
      <c r="D46" s="39">
        <v>4</v>
      </c>
    </row>
    <row r="47" spans="2:4" ht="15" customHeight="1" thickBot="1" x14ac:dyDescent="0.25">
      <c r="B47" s="24"/>
      <c r="C47" s="19" t="s">
        <v>53</v>
      </c>
      <c r="D47" s="15"/>
    </row>
    <row r="48" spans="2:4" ht="15" customHeight="1" x14ac:dyDescent="0.2">
      <c r="B48" s="25">
        <v>1</v>
      </c>
      <c r="C48" t="s">
        <v>54</v>
      </c>
      <c r="D48" s="37">
        <v>4</v>
      </c>
    </row>
    <row r="49" spans="2:4" ht="15" customHeight="1" thickBot="1" x14ac:dyDescent="0.25">
      <c r="B49" s="27">
        <f>B48+1</f>
        <v>2</v>
      </c>
      <c r="C49" s="1" t="s">
        <v>55</v>
      </c>
      <c r="D49" s="39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"/>
  <sheetViews>
    <sheetView tabSelected="1" zoomScale="114" zoomScaleNormal="100" workbookViewId="0">
      <pane ySplit="5" topLeftCell="A35" activePane="bottomLeft" state="frozen"/>
      <selection pane="bottomLeft" activeCell="M45" sqref="M45"/>
    </sheetView>
  </sheetViews>
  <sheetFormatPr defaultColWidth="8.85546875" defaultRowHeight="12.75" x14ac:dyDescent="0.2"/>
  <cols>
    <col min="1" max="1" width="10" style="5" bestFit="1" customWidth="1"/>
    <col min="2" max="2" width="54.42578125" customWidth="1"/>
    <col min="3" max="3" width="7.7109375" style="5" customWidth="1"/>
    <col min="4" max="4" width="12.85546875" bestFit="1" customWidth="1"/>
    <col min="5" max="5" width="11.42578125" customWidth="1"/>
    <col min="6" max="6" width="10.140625" bestFit="1" customWidth="1"/>
    <col min="7" max="7" width="14.42578125" customWidth="1"/>
    <col min="8" max="8" width="13.42578125" customWidth="1"/>
    <col min="9" max="9" width="10" bestFit="1" customWidth="1"/>
    <col min="10" max="10" width="8.5703125" customWidth="1"/>
  </cols>
  <sheetData>
    <row r="1" spans="1:10" ht="34.5" customHeight="1" x14ac:dyDescent="0.25">
      <c r="A1" s="87" t="s">
        <v>20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8" customHeight="1" x14ac:dyDescent="0.25">
      <c r="A2" s="3"/>
      <c r="B2" s="3"/>
      <c r="C2" s="3"/>
      <c r="D2" s="3"/>
      <c r="E2" s="3"/>
      <c r="F2" s="3"/>
      <c r="G2" s="3"/>
      <c r="H2" s="3"/>
    </row>
    <row r="3" spans="1:10" x14ac:dyDescent="0.2">
      <c r="B3" s="5"/>
      <c r="E3" s="82"/>
      <c r="F3" s="82"/>
      <c r="G3" s="82"/>
      <c r="H3" s="82"/>
    </row>
    <row r="4" spans="1:10" x14ac:dyDescent="0.2">
      <c r="A4" s="30" t="s">
        <v>8</v>
      </c>
      <c r="B4" s="6" t="s">
        <v>9</v>
      </c>
      <c r="C4" s="30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</row>
    <row r="5" spans="1:10" x14ac:dyDescent="0.2">
      <c r="A5" s="31"/>
      <c r="B5" s="4"/>
      <c r="C5" s="31">
        <f>SUM(C7:C11)</f>
        <v>12</v>
      </c>
      <c r="D5" s="4"/>
      <c r="E5" s="4"/>
      <c r="F5" s="4"/>
      <c r="G5" s="4"/>
      <c r="H5" s="4"/>
      <c r="I5" s="4"/>
      <c r="J5" s="4"/>
    </row>
    <row r="6" spans="1:10" ht="13.5" thickBot="1" x14ac:dyDescent="0.25">
      <c r="A6" s="84" t="s">
        <v>18</v>
      </c>
      <c r="B6" s="84"/>
      <c r="C6" s="84"/>
      <c r="D6" s="84"/>
      <c r="E6" s="84"/>
      <c r="F6" s="84"/>
      <c r="G6" s="84"/>
      <c r="H6" s="84"/>
      <c r="I6" s="85"/>
      <c r="J6" s="84"/>
    </row>
    <row r="7" spans="1:10" x14ac:dyDescent="0.2">
      <c r="A7" s="31">
        <v>1</v>
      </c>
      <c r="B7" s="16" t="s">
        <v>23</v>
      </c>
      <c r="C7" s="32">
        <v>2</v>
      </c>
      <c r="D7" s="4" t="s">
        <v>108</v>
      </c>
      <c r="E7" s="56" t="s">
        <v>130</v>
      </c>
      <c r="F7" s="62" t="s">
        <v>131</v>
      </c>
      <c r="G7" s="62" t="s">
        <v>132</v>
      </c>
      <c r="H7" s="63" t="s">
        <v>132</v>
      </c>
      <c r="I7" s="4">
        <v>2</v>
      </c>
      <c r="J7" s="48"/>
    </row>
    <row r="8" spans="1:10" x14ac:dyDescent="0.2">
      <c r="A8" s="31">
        <v>2</v>
      </c>
      <c r="B8" t="s">
        <v>124</v>
      </c>
      <c r="C8" s="33">
        <v>2</v>
      </c>
      <c r="D8" s="4" t="s">
        <v>108</v>
      </c>
      <c r="E8" s="56" t="s">
        <v>130</v>
      </c>
      <c r="F8" s="62" t="s">
        <v>131</v>
      </c>
      <c r="G8" s="62" t="s">
        <v>132</v>
      </c>
      <c r="H8" s="63" t="s">
        <v>133</v>
      </c>
      <c r="I8" s="4">
        <v>2</v>
      </c>
      <c r="J8" s="48"/>
    </row>
    <row r="9" spans="1:10" x14ac:dyDescent="0.2">
      <c r="A9" s="31">
        <v>3</v>
      </c>
      <c r="B9" s="12" t="s">
        <v>24</v>
      </c>
      <c r="C9" s="33">
        <v>2</v>
      </c>
      <c r="D9" s="4" t="s">
        <v>108</v>
      </c>
      <c r="E9" s="56" t="s">
        <v>130</v>
      </c>
      <c r="F9" s="62" t="s">
        <v>131</v>
      </c>
      <c r="G9" s="62" t="s">
        <v>135</v>
      </c>
      <c r="H9" s="63" t="s">
        <v>135</v>
      </c>
      <c r="I9" s="4">
        <v>2</v>
      </c>
      <c r="J9" s="48"/>
    </row>
    <row r="10" spans="1:10" x14ac:dyDescent="0.2">
      <c r="A10" s="31">
        <v>4</v>
      </c>
      <c r="B10" s="12" t="s">
        <v>25</v>
      </c>
      <c r="C10" s="33">
        <v>4</v>
      </c>
      <c r="D10" s="4" t="s">
        <v>108</v>
      </c>
      <c r="E10" s="56" t="s">
        <v>130</v>
      </c>
      <c r="F10" s="62" t="s">
        <v>131</v>
      </c>
      <c r="G10" s="62" t="s">
        <v>133</v>
      </c>
      <c r="H10" s="63" t="s">
        <v>134</v>
      </c>
      <c r="I10" s="4">
        <v>4</v>
      </c>
      <c r="J10" s="48"/>
    </row>
    <row r="11" spans="1:10" x14ac:dyDescent="0.2">
      <c r="A11" s="31">
        <v>5</v>
      </c>
      <c r="B11" s="12" t="s">
        <v>26</v>
      </c>
      <c r="C11" s="33">
        <v>2</v>
      </c>
      <c r="D11" s="4" t="s">
        <v>108</v>
      </c>
      <c r="E11" s="56" t="s">
        <v>130</v>
      </c>
      <c r="F11" s="62" t="s">
        <v>131</v>
      </c>
      <c r="G11" s="62" t="s">
        <v>135</v>
      </c>
      <c r="H11" s="63" t="s">
        <v>131</v>
      </c>
      <c r="I11" s="4">
        <v>2</v>
      </c>
      <c r="J11" s="48"/>
    </row>
    <row r="12" spans="1:10" x14ac:dyDescent="0.2">
      <c r="A12" s="31">
        <v>6</v>
      </c>
      <c r="B12" s="45" t="s">
        <v>121</v>
      </c>
      <c r="C12" s="33">
        <v>2</v>
      </c>
      <c r="D12" s="4" t="s">
        <v>108</v>
      </c>
      <c r="E12" s="56" t="s">
        <v>130</v>
      </c>
      <c r="F12" s="62" t="s">
        <v>131</v>
      </c>
      <c r="G12" s="62" t="s">
        <v>134</v>
      </c>
      <c r="H12" s="63" t="s">
        <v>134</v>
      </c>
      <c r="I12" s="4">
        <v>2</v>
      </c>
      <c r="J12" s="48"/>
    </row>
    <row r="13" spans="1:10" x14ac:dyDescent="0.2">
      <c r="A13" s="31">
        <v>7</v>
      </c>
      <c r="B13" s="45" t="s">
        <v>122</v>
      </c>
      <c r="C13" s="33">
        <v>2</v>
      </c>
      <c r="D13" s="4" t="s">
        <v>108</v>
      </c>
      <c r="E13" s="56" t="s">
        <v>130</v>
      </c>
      <c r="F13" s="62" t="s">
        <v>131</v>
      </c>
      <c r="G13" s="62" t="s">
        <v>134</v>
      </c>
      <c r="H13" s="63" t="s">
        <v>135</v>
      </c>
      <c r="I13" s="4">
        <v>2</v>
      </c>
      <c r="J13" s="48"/>
    </row>
    <row r="14" spans="1:10" x14ac:dyDescent="0.2">
      <c r="A14" s="83"/>
      <c r="B14" s="83"/>
      <c r="C14" s="83"/>
      <c r="D14" s="83"/>
      <c r="E14" s="83"/>
      <c r="F14" s="83"/>
      <c r="G14" s="83"/>
      <c r="H14" s="83"/>
      <c r="I14" s="83"/>
      <c r="J14" s="83"/>
    </row>
    <row r="18" spans="1:10" x14ac:dyDescent="0.2">
      <c r="A18" s="30" t="s">
        <v>8</v>
      </c>
      <c r="B18" s="6" t="s">
        <v>9</v>
      </c>
      <c r="C18" s="30" t="s">
        <v>10</v>
      </c>
      <c r="D18" s="6" t="s">
        <v>11</v>
      </c>
      <c r="E18" s="6" t="s">
        <v>12</v>
      </c>
      <c r="F18" s="6" t="s">
        <v>13</v>
      </c>
      <c r="G18" s="6" t="s">
        <v>14</v>
      </c>
      <c r="H18" s="6" t="s">
        <v>15</v>
      </c>
      <c r="I18" s="6" t="s">
        <v>16</v>
      </c>
      <c r="J18" s="6" t="s">
        <v>17</v>
      </c>
    </row>
    <row r="19" spans="1:10" x14ac:dyDescent="0.2">
      <c r="A19" s="31"/>
      <c r="B19" s="4"/>
      <c r="C19" s="31">
        <f>SUM(C21:C24)</f>
        <v>9</v>
      </c>
      <c r="D19" s="4"/>
      <c r="E19" s="4"/>
      <c r="F19" s="4"/>
      <c r="G19" s="4"/>
      <c r="H19" s="4"/>
      <c r="I19" s="4"/>
      <c r="J19" s="4"/>
    </row>
    <row r="20" spans="1:10" ht="13.5" thickBot="1" x14ac:dyDescent="0.25">
      <c r="A20" s="84" t="s">
        <v>97</v>
      </c>
      <c r="B20" s="84"/>
      <c r="C20" s="85"/>
      <c r="D20" s="84"/>
      <c r="E20" s="84"/>
      <c r="F20" s="84"/>
      <c r="G20" s="84"/>
      <c r="H20" s="84"/>
      <c r="I20" s="84"/>
      <c r="J20" s="84"/>
    </row>
    <row r="21" spans="1:10" x14ac:dyDescent="0.2">
      <c r="A21" s="31">
        <v>1</v>
      </c>
      <c r="B21" s="12" t="s">
        <v>28</v>
      </c>
      <c r="C21" s="32">
        <v>2</v>
      </c>
      <c r="D21" s="48" t="s">
        <v>108</v>
      </c>
      <c r="E21" s="56">
        <v>45757</v>
      </c>
      <c r="F21" s="62">
        <v>45940</v>
      </c>
      <c r="G21" s="62">
        <v>45818</v>
      </c>
      <c r="H21" s="62">
        <v>45818</v>
      </c>
      <c r="I21" s="4">
        <v>2</v>
      </c>
      <c r="J21" s="4"/>
    </row>
    <row r="22" spans="1:10" x14ac:dyDescent="0.2">
      <c r="A22" s="31">
        <v>2</v>
      </c>
      <c r="B22" s="12" t="s">
        <v>36</v>
      </c>
      <c r="C22" s="33">
        <v>3</v>
      </c>
      <c r="D22" s="48" t="s">
        <v>108</v>
      </c>
      <c r="E22" s="56">
        <v>45757</v>
      </c>
      <c r="F22" s="62">
        <v>45940</v>
      </c>
      <c r="G22" s="62">
        <v>45910</v>
      </c>
      <c r="H22" s="62">
        <v>45940</v>
      </c>
      <c r="I22" s="4">
        <v>3</v>
      </c>
      <c r="J22" s="4"/>
    </row>
    <row r="23" spans="1:10" x14ac:dyDescent="0.2">
      <c r="A23" s="31">
        <v>3</v>
      </c>
      <c r="B23" s="12" t="s">
        <v>37</v>
      </c>
      <c r="C23" s="33">
        <v>1</v>
      </c>
      <c r="D23" s="48" t="s">
        <v>108</v>
      </c>
      <c r="E23" s="56" t="s">
        <v>136</v>
      </c>
      <c r="F23" s="62">
        <v>45940</v>
      </c>
      <c r="G23" s="62">
        <v>45879</v>
      </c>
      <c r="H23" s="62">
        <v>45910</v>
      </c>
      <c r="I23" s="4">
        <v>1</v>
      </c>
      <c r="J23" s="4"/>
    </row>
    <row r="24" spans="1:10" x14ac:dyDescent="0.2">
      <c r="A24" s="31">
        <v>4</v>
      </c>
      <c r="B24" s="12" t="s">
        <v>38</v>
      </c>
      <c r="C24" s="33">
        <v>3</v>
      </c>
      <c r="D24" s="48" t="s">
        <v>108</v>
      </c>
      <c r="E24" s="56">
        <v>45757</v>
      </c>
      <c r="F24" s="62">
        <v>45940</v>
      </c>
      <c r="G24" s="62">
        <v>45818</v>
      </c>
      <c r="H24" s="62">
        <v>45879</v>
      </c>
      <c r="I24" s="4">
        <v>3</v>
      </c>
      <c r="J24" s="4"/>
    </row>
    <row r="25" spans="1:10" x14ac:dyDescent="0.2">
      <c r="A25" s="31">
        <v>5</v>
      </c>
      <c r="B25" s="45" t="s">
        <v>126</v>
      </c>
      <c r="C25" s="33">
        <v>2</v>
      </c>
      <c r="D25" s="48" t="s">
        <v>108</v>
      </c>
      <c r="E25" s="56">
        <v>45757</v>
      </c>
      <c r="F25" s="62">
        <v>45940</v>
      </c>
      <c r="G25" s="62">
        <v>45757</v>
      </c>
      <c r="H25" s="62">
        <v>45757</v>
      </c>
      <c r="I25" s="4">
        <v>2</v>
      </c>
      <c r="J25" s="4"/>
    </row>
    <row r="26" spans="1:10" x14ac:dyDescent="0.2">
      <c r="A26" s="31">
        <v>6</v>
      </c>
      <c r="B26" s="45" t="s">
        <v>125</v>
      </c>
      <c r="C26" s="33">
        <v>2</v>
      </c>
      <c r="D26" s="48" t="s">
        <v>108</v>
      </c>
      <c r="E26" s="56">
        <v>45757</v>
      </c>
      <c r="F26" s="62">
        <v>45940</v>
      </c>
      <c r="G26" s="62">
        <v>45757</v>
      </c>
      <c r="H26" s="62">
        <v>45787</v>
      </c>
      <c r="I26" s="4">
        <v>2</v>
      </c>
      <c r="J26" s="4"/>
    </row>
    <row r="27" spans="1:10" x14ac:dyDescent="0.2">
      <c r="A27" s="31">
        <v>7</v>
      </c>
      <c r="B27" s="45" t="s">
        <v>127</v>
      </c>
      <c r="C27" s="33">
        <v>2</v>
      </c>
      <c r="D27" s="48" t="s">
        <v>108</v>
      </c>
      <c r="E27" s="56" t="s">
        <v>136</v>
      </c>
      <c r="F27" s="62">
        <v>45940</v>
      </c>
      <c r="G27" s="62">
        <v>45787</v>
      </c>
      <c r="H27" s="62">
        <v>45787</v>
      </c>
      <c r="I27" s="4">
        <v>2</v>
      </c>
      <c r="J27" s="4"/>
    </row>
    <row r="28" spans="1:10" ht="13.5" thickBot="1" x14ac:dyDescent="0.25">
      <c r="A28" s="31">
        <v>8</v>
      </c>
      <c r="B28" s="45" t="s">
        <v>128</v>
      </c>
      <c r="C28" s="34">
        <v>3</v>
      </c>
      <c r="D28" s="48" t="s">
        <v>108</v>
      </c>
      <c r="E28" s="56">
        <v>45757</v>
      </c>
      <c r="F28" s="62">
        <v>45940</v>
      </c>
      <c r="G28" s="62">
        <v>45787</v>
      </c>
      <c r="H28" s="62">
        <v>45818</v>
      </c>
      <c r="I28" s="4">
        <v>3</v>
      </c>
      <c r="J28" s="4"/>
    </row>
    <row r="29" spans="1:10" x14ac:dyDescent="0.2">
      <c r="A29" s="83"/>
      <c r="B29" s="83"/>
      <c r="C29" s="86"/>
      <c r="D29" s="83"/>
      <c r="E29" s="83"/>
      <c r="F29" s="83"/>
      <c r="G29" s="83"/>
      <c r="H29" s="83"/>
      <c r="I29" s="83"/>
      <c r="J29" s="83"/>
    </row>
    <row r="33" spans="1:10" x14ac:dyDescent="0.2">
      <c r="A33" s="30" t="s">
        <v>8</v>
      </c>
      <c r="B33" s="6" t="s">
        <v>9</v>
      </c>
      <c r="C33" s="30" t="s">
        <v>10</v>
      </c>
      <c r="D33" s="6" t="s">
        <v>11</v>
      </c>
      <c r="E33" s="6" t="s">
        <v>12</v>
      </c>
      <c r="F33" s="6" t="s">
        <v>13</v>
      </c>
      <c r="G33" s="6" t="s">
        <v>14</v>
      </c>
      <c r="H33" s="6" t="s">
        <v>15</v>
      </c>
      <c r="I33" s="6" t="s">
        <v>16</v>
      </c>
      <c r="J33" s="6" t="s">
        <v>17</v>
      </c>
    </row>
    <row r="34" spans="1:10" x14ac:dyDescent="0.2">
      <c r="A34" s="31"/>
      <c r="B34" s="4"/>
      <c r="C34" s="31">
        <f>SUM(C36:C39)</f>
        <v>9</v>
      </c>
      <c r="D34" s="4"/>
      <c r="E34" s="4"/>
      <c r="F34" s="4"/>
      <c r="G34" s="4"/>
      <c r="H34" s="4"/>
      <c r="I34" s="4"/>
      <c r="J34" s="4"/>
    </row>
    <row r="35" spans="1:10" x14ac:dyDescent="0.2">
      <c r="A35" s="84" t="s">
        <v>98</v>
      </c>
      <c r="B35" s="84"/>
      <c r="C35" s="84"/>
      <c r="D35" s="84"/>
      <c r="E35" s="84"/>
      <c r="F35" s="84"/>
      <c r="G35" s="84"/>
      <c r="H35" s="84"/>
      <c r="I35" s="84"/>
      <c r="J35" s="84"/>
    </row>
    <row r="36" spans="1:10" x14ac:dyDescent="0.2">
      <c r="A36" s="31">
        <v>1</v>
      </c>
      <c r="B36" s="12" t="s">
        <v>106</v>
      </c>
      <c r="C36" s="33">
        <v>3</v>
      </c>
      <c r="D36" s="4" t="s">
        <v>108</v>
      </c>
      <c r="E36" s="62">
        <v>45940</v>
      </c>
      <c r="F36" s="62" t="s">
        <v>137</v>
      </c>
      <c r="G36" s="62">
        <v>45971</v>
      </c>
      <c r="H36" s="62" t="s">
        <v>138</v>
      </c>
      <c r="I36" s="4">
        <v>3</v>
      </c>
      <c r="J36" s="4"/>
    </row>
    <row r="37" spans="1:10" x14ac:dyDescent="0.2">
      <c r="A37" s="31">
        <v>2</v>
      </c>
      <c r="B37" s="12" t="s">
        <v>107</v>
      </c>
      <c r="C37" s="33">
        <v>2</v>
      </c>
      <c r="D37" s="4" t="s">
        <v>108</v>
      </c>
      <c r="E37" s="62">
        <v>45940</v>
      </c>
      <c r="F37" s="62" t="s">
        <v>137</v>
      </c>
      <c r="G37" s="62" t="s">
        <v>138</v>
      </c>
      <c r="H37" s="62" t="s">
        <v>139</v>
      </c>
      <c r="I37" s="4">
        <v>2</v>
      </c>
      <c r="J37" s="4"/>
    </row>
    <row r="38" spans="1:10" x14ac:dyDescent="0.2">
      <c r="A38" s="31">
        <v>3</v>
      </c>
      <c r="B38" s="12" t="s">
        <v>31</v>
      </c>
      <c r="C38" s="33">
        <v>2</v>
      </c>
      <c r="D38" s="4" t="s">
        <v>108</v>
      </c>
      <c r="E38" s="62">
        <v>45940</v>
      </c>
      <c r="F38" s="62" t="s">
        <v>137</v>
      </c>
      <c r="G38" s="62">
        <v>45940</v>
      </c>
      <c r="H38" s="62">
        <v>45940</v>
      </c>
      <c r="I38" s="4">
        <v>2</v>
      </c>
      <c r="J38" s="4"/>
    </row>
    <row r="39" spans="1:10" ht="13.5" thickBot="1" x14ac:dyDescent="0.25">
      <c r="A39" s="31">
        <v>4</v>
      </c>
      <c r="B39" s="17" t="s">
        <v>32</v>
      </c>
      <c r="C39" s="34">
        <v>2</v>
      </c>
      <c r="D39" s="4" t="s">
        <v>108</v>
      </c>
      <c r="E39" s="62">
        <v>45940</v>
      </c>
      <c r="F39" s="62" t="s">
        <v>137</v>
      </c>
      <c r="G39" s="62">
        <v>45940</v>
      </c>
      <c r="H39" s="62">
        <v>45971</v>
      </c>
      <c r="I39" s="4">
        <v>2</v>
      </c>
      <c r="J39" s="4"/>
    </row>
    <row r="40" spans="1:10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</row>
    <row r="44" spans="1:10" x14ac:dyDescent="0.2">
      <c r="A44" s="30" t="s">
        <v>8</v>
      </c>
      <c r="B44" s="6" t="s">
        <v>9</v>
      </c>
      <c r="C44" s="30" t="s">
        <v>10</v>
      </c>
      <c r="D44" s="6" t="s">
        <v>11</v>
      </c>
      <c r="E44" s="6" t="s">
        <v>12</v>
      </c>
      <c r="F44" s="6" t="s">
        <v>13</v>
      </c>
      <c r="G44" s="6" t="s">
        <v>14</v>
      </c>
      <c r="H44" s="6" t="s">
        <v>15</v>
      </c>
      <c r="I44" s="6" t="s">
        <v>16</v>
      </c>
      <c r="J44" s="6" t="s">
        <v>17</v>
      </c>
    </row>
    <row r="45" spans="1:10" x14ac:dyDescent="0.2">
      <c r="A45" s="31"/>
      <c r="B45" s="4"/>
      <c r="C45" s="31">
        <f>SUM(C47:C49)</f>
        <v>8</v>
      </c>
      <c r="D45" s="4"/>
      <c r="E45" s="4"/>
      <c r="F45" s="4"/>
      <c r="G45" s="4"/>
      <c r="H45" s="4"/>
      <c r="I45" s="4"/>
      <c r="J45" s="4"/>
    </row>
    <row r="46" spans="1:10" ht="13.5" thickBot="1" x14ac:dyDescent="0.25">
      <c r="A46" s="84" t="s">
        <v>99</v>
      </c>
      <c r="B46" s="84"/>
      <c r="C46" s="84"/>
      <c r="D46" s="84"/>
      <c r="E46" s="84"/>
      <c r="F46" s="84"/>
      <c r="G46" s="84"/>
      <c r="H46" s="84"/>
      <c r="I46" s="84"/>
      <c r="J46" s="84"/>
    </row>
    <row r="47" spans="1:10" x14ac:dyDescent="0.2">
      <c r="A47" s="31">
        <v>1</v>
      </c>
      <c r="B47" s="12" t="s">
        <v>41</v>
      </c>
      <c r="C47" s="32">
        <v>2</v>
      </c>
      <c r="D47" s="4" t="s">
        <v>108</v>
      </c>
      <c r="E47" s="7" t="s">
        <v>137</v>
      </c>
      <c r="F47" s="7" t="s">
        <v>140</v>
      </c>
      <c r="G47" s="7"/>
      <c r="H47" s="7"/>
      <c r="I47" s="4"/>
      <c r="J47" s="4"/>
    </row>
    <row r="48" spans="1:10" x14ac:dyDescent="0.2">
      <c r="A48" s="31">
        <v>2</v>
      </c>
      <c r="B48" s="46" t="s">
        <v>129</v>
      </c>
      <c r="C48" s="33">
        <v>4</v>
      </c>
      <c r="D48" s="4" t="s">
        <v>108</v>
      </c>
      <c r="E48" s="7" t="s">
        <v>137</v>
      </c>
      <c r="F48" s="7" t="s">
        <v>140</v>
      </c>
      <c r="G48" s="7"/>
      <c r="H48" s="7"/>
      <c r="I48" s="4"/>
      <c r="J48" s="4"/>
    </row>
    <row r="49" spans="1:10" x14ac:dyDescent="0.2">
      <c r="A49" s="31">
        <v>3</v>
      </c>
      <c r="B49" s="12" t="s">
        <v>42</v>
      </c>
      <c r="C49" s="33">
        <v>2</v>
      </c>
      <c r="D49" s="4" t="s">
        <v>108</v>
      </c>
      <c r="E49" s="7" t="s">
        <v>137</v>
      </c>
      <c r="F49" s="7" t="s">
        <v>140</v>
      </c>
      <c r="G49" s="7"/>
      <c r="H49" s="7"/>
      <c r="I49" s="4"/>
      <c r="J49" s="4"/>
    </row>
    <row r="50" spans="1:10" x14ac:dyDescent="0.2">
      <c r="A50" s="83"/>
      <c r="B50" s="83"/>
      <c r="C50" s="83"/>
      <c r="D50" s="83"/>
      <c r="E50" s="83"/>
      <c r="F50" s="83"/>
      <c r="G50" s="83"/>
      <c r="H50" s="83"/>
      <c r="I50" s="83"/>
      <c r="J50" s="83"/>
    </row>
    <row r="54" spans="1:10" x14ac:dyDescent="0.2">
      <c r="A54" s="30" t="s">
        <v>8</v>
      </c>
      <c r="B54" s="6" t="s">
        <v>9</v>
      </c>
      <c r="C54" s="30" t="s">
        <v>10</v>
      </c>
      <c r="D54" s="6" t="s">
        <v>11</v>
      </c>
      <c r="E54" s="6" t="s">
        <v>12</v>
      </c>
      <c r="F54" s="6" t="s">
        <v>13</v>
      </c>
      <c r="G54" s="6" t="s">
        <v>14</v>
      </c>
      <c r="H54" s="6" t="s">
        <v>15</v>
      </c>
      <c r="I54" s="6" t="s">
        <v>16</v>
      </c>
      <c r="J54" s="6" t="s">
        <v>17</v>
      </c>
    </row>
    <row r="55" spans="1:10" x14ac:dyDescent="0.2">
      <c r="A55" s="31"/>
      <c r="B55" s="4"/>
      <c r="C55" s="31">
        <f>SUM(C57:C59)</f>
        <v>9</v>
      </c>
      <c r="D55" s="4"/>
      <c r="E55" s="4"/>
      <c r="F55" s="4"/>
      <c r="G55" s="4"/>
      <c r="H55" s="4"/>
      <c r="I55" s="4"/>
      <c r="J55" s="4"/>
    </row>
    <row r="56" spans="1:10" ht="13.5" thickBot="1" x14ac:dyDescent="0.25">
      <c r="A56" s="84" t="s">
        <v>100</v>
      </c>
      <c r="B56" s="85"/>
      <c r="C56" s="85"/>
      <c r="D56" s="84"/>
      <c r="E56" s="84"/>
      <c r="F56" s="84"/>
      <c r="G56" s="84"/>
      <c r="H56" s="84"/>
      <c r="I56" s="84"/>
      <c r="J56" s="84"/>
    </row>
    <row r="57" spans="1:10" x14ac:dyDescent="0.2">
      <c r="A57" s="49">
        <v>1</v>
      </c>
      <c r="B57" s="50" t="s">
        <v>27</v>
      </c>
      <c r="C57" s="32">
        <v>2</v>
      </c>
      <c r="D57" s="48" t="s">
        <v>108</v>
      </c>
      <c r="E57" s="7"/>
      <c r="F57" s="7"/>
      <c r="G57" s="7"/>
      <c r="H57" s="7"/>
      <c r="I57" s="4"/>
      <c r="J57" s="4"/>
    </row>
    <row r="58" spans="1:10" x14ac:dyDescent="0.2">
      <c r="A58" s="49">
        <v>2</v>
      </c>
      <c r="B58" s="51" t="s">
        <v>34</v>
      </c>
      <c r="C58" s="33">
        <v>3</v>
      </c>
      <c r="D58" s="48" t="s">
        <v>108</v>
      </c>
      <c r="E58" s="7"/>
      <c r="F58" s="7"/>
      <c r="G58" s="7"/>
      <c r="H58" s="7"/>
      <c r="I58" s="4"/>
      <c r="J58" s="4"/>
    </row>
    <row r="59" spans="1:10" ht="13.5" thickBot="1" x14ac:dyDescent="0.25">
      <c r="A59" s="49">
        <v>3</v>
      </c>
      <c r="B59" s="52" t="s">
        <v>35</v>
      </c>
      <c r="C59" s="34">
        <v>4</v>
      </c>
      <c r="D59" s="48" t="s">
        <v>108</v>
      </c>
      <c r="E59" s="7"/>
      <c r="F59" s="7"/>
      <c r="G59" s="7"/>
      <c r="H59" s="7"/>
      <c r="I59" s="4"/>
      <c r="J59" s="4"/>
    </row>
    <row r="60" spans="1:10" x14ac:dyDescent="0.2">
      <c r="A60" s="83"/>
      <c r="B60" s="86"/>
      <c r="C60" s="86"/>
      <c r="D60" s="83"/>
      <c r="E60" s="83"/>
      <c r="F60" s="83"/>
      <c r="G60" s="83"/>
      <c r="H60" s="83"/>
      <c r="I60" s="83"/>
      <c r="J60" s="83"/>
    </row>
    <row r="64" spans="1:10" x14ac:dyDescent="0.2">
      <c r="A64" s="30" t="s">
        <v>8</v>
      </c>
      <c r="B64" s="6" t="s">
        <v>9</v>
      </c>
      <c r="C64" s="30" t="s">
        <v>10</v>
      </c>
      <c r="D64" s="6" t="s">
        <v>11</v>
      </c>
      <c r="E64" s="6" t="s">
        <v>12</v>
      </c>
      <c r="F64" s="6" t="s">
        <v>13</v>
      </c>
      <c r="G64" s="6" t="s">
        <v>14</v>
      </c>
      <c r="H64" s="6" t="s">
        <v>15</v>
      </c>
      <c r="I64" s="6" t="s">
        <v>16</v>
      </c>
      <c r="J64" s="6" t="s">
        <v>17</v>
      </c>
    </row>
    <row r="65" spans="1:10" x14ac:dyDescent="0.2">
      <c r="A65" s="31"/>
      <c r="B65" s="4"/>
      <c r="C65" s="31">
        <f>SUM(C67:C68)</f>
        <v>5</v>
      </c>
      <c r="D65" s="4"/>
      <c r="E65" s="4"/>
      <c r="F65" s="4"/>
      <c r="G65" s="4"/>
      <c r="H65" s="4"/>
      <c r="I65" s="4"/>
      <c r="J65" s="4"/>
    </row>
    <row r="66" spans="1:10" x14ac:dyDescent="0.2">
      <c r="A66" s="84" t="s">
        <v>101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0" x14ac:dyDescent="0.2">
      <c r="A67" s="31">
        <v>1</v>
      </c>
      <c r="B67" s="12" t="s">
        <v>43</v>
      </c>
      <c r="C67" s="33">
        <v>2</v>
      </c>
      <c r="D67" s="4" t="s">
        <v>108</v>
      </c>
      <c r="E67" s="7"/>
      <c r="F67" s="7"/>
      <c r="G67" s="7"/>
      <c r="H67" s="7"/>
      <c r="I67" s="4"/>
      <c r="J67" s="4"/>
    </row>
    <row r="68" spans="1:10" x14ac:dyDescent="0.2">
      <c r="A68" s="31">
        <v>2</v>
      </c>
      <c r="B68" s="12" t="s">
        <v>44</v>
      </c>
      <c r="C68" s="33">
        <v>3</v>
      </c>
      <c r="D68" s="4" t="s">
        <v>108</v>
      </c>
      <c r="E68" s="7"/>
      <c r="F68" s="7"/>
      <c r="G68" s="7"/>
      <c r="H68" s="7"/>
      <c r="I68" s="4"/>
      <c r="J68" s="4"/>
    </row>
    <row r="69" spans="1:10" x14ac:dyDescent="0.2">
      <c r="A69" s="83"/>
      <c r="B69" s="83"/>
      <c r="C69" s="83"/>
      <c r="D69" s="83"/>
      <c r="E69" s="83"/>
      <c r="F69" s="83"/>
      <c r="G69" s="83"/>
      <c r="H69" s="83"/>
      <c r="I69" s="83"/>
      <c r="J69" s="83"/>
    </row>
    <row r="73" spans="1:10" x14ac:dyDescent="0.2">
      <c r="A73" s="30" t="s">
        <v>8</v>
      </c>
      <c r="B73" s="6" t="s">
        <v>9</v>
      </c>
      <c r="C73" s="30" t="s">
        <v>10</v>
      </c>
      <c r="D73" s="6" t="s">
        <v>11</v>
      </c>
      <c r="E73" s="6" t="s">
        <v>12</v>
      </c>
      <c r="F73" s="6" t="s">
        <v>13</v>
      </c>
      <c r="G73" s="6" t="s">
        <v>14</v>
      </c>
      <c r="H73" s="6" t="s">
        <v>15</v>
      </c>
      <c r="I73" s="6" t="s">
        <v>16</v>
      </c>
      <c r="J73" s="6" t="s">
        <v>17</v>
      </c>
    </row>
    <row r="74" spans="1:10" x14ac:dyDescent="0.2">
      <c r="A74" s="31"/>
      <c r="B74" s="4"/>
      <c r="C74" s="31">
        <f>SUM(C76:C77)</f>
        <v>5</v>
      </c>
      <c r="D74" s="4"/>
      <c r="E74" s="4"/>
      <c r="F74" s="4"/>
      <c r="G74" s="4"/>
      <c r="H74" s="4"/>
      <c r="I74" s="4"/>
      <c r="J74" s="4"/>
    </row>
    <row r="75" spans="1:10" x14ac:dyDescent="0.2">
      <c r="A75" s="84" t="s">
        <v>102</v>
      </c>
      <c r="B75" s="84"/>
      <c r="C75" s="84"/>
      <c r="D75" s="84"/>
      <c r="E75" s="84"/>
      <c r="F75" s="84"/>
      <c r="G75" s="84"/>
      <c r="H75" s="84"/>
      <c r="I75" s="84"/>
      <c r="J75" s="84"/>
    </row>
    <row r="76" spans="1:10" x14ac:dyDescent="0.2">
      <c r="A76" s="31">
        <v>1</v>
      </c>
      <c r="B76" s="12" t="s">
        <v>45</v>
      </c>
      <c r="C76" s="33">
        <v>2</v>
      </c>
      <c r="D76" s="4" t="s">
        <v>108</v>
      </c>
      <c r="E76" s="7"/>
      <c r="F76" s="7"/>
      <c r="G76" s="7"/>
      <c r="H76" s="7"/>
      <c r="I76" s="4"/>
      <c r="J76" s="4"/>
    </row>
    <row r="77" spans="1:10" ht="13.5" thickBot="1" x14ac:dyDescent="0.25">
      <c r="A77" s="31">
        <v>2</v>
      </c>
      <c r="B77" s="12" t="s">
        <v>46</v>
      </c>
      <c r="C77" s="34">
        <v>3</v>
      </c>
      <c r="D77" s="4" t="s">
        <v>108</v>
      </c>
      <c r="E77" s="7"/>
      <c r="F77" s="7"/>
      <c r="G77" s="7"/>
      <c r="H77" s="7"/>
      <c r="I77" s="4"/>
      <c r="J77" s="4"/>
    </row>
    <row r="78" spans="1:10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</row>
    <row r="82" spans="1:10" x14ac:dyDescent="0.2">
      <c r="A82" s="30" t="s">
        <v>8</v>
      </c>
      <c r="B82" s="6" t="s">
        <v>9</v>
      </c>
      <c r="C82" s="30" t="s">
        <v>10</v>
      </c>
      <c r="D82" s="6" t="s">
        <v>11</v>
      </c>
      <c r="E82" s="6" t="s">
        <v>12</v>
      </c>
      <c r="F82" s="6" t="s">
        <v>13</v>
      </c>
      <c r="G82" s="6" t="s">
        <v>14</v>
      </c>
      <c r="H82" s="6" t="s">
        <v>15</v>
      </c>
      <c r="I82" s="6" t="s">
        <v>16</v>
      </c>
      <c r="J82" s="6" t="s">
        <v>17</v>
      </c>
    </row>
    <row r="83" spans="1:10" x14ac:dyDescent="0.2">
      <c r="A83" s="31"/>
      <c r="B83" s="4"/>
      <c r="C83" s="31">
        <f>SUM(C85:C86)</f>
        <v>4</v>
      </c>
      <c r="D83" s="4"/>
      <c r="E83" s="4"/>
      <c r="F83" s="4"/>
      <c r="G83" s="4"/>
      <c r="H83" s="4"/>
      <c r="I83" s="4"/>
      <c r="J83" s="4"/>
    </row>
    <row r="84" spans="1:10" ht="13.5" thickBot="1" x14ac:dyDescent="0.25">
      <c r="A84" s="84" t="s">
        <v>103</v>
      </c>
      <c r="B84" s="84"/>
      <c r="C84" s="84"/>
      <c r="D84" s="84"/>
      <c r="E84" s="84"/>
      <c r="F84" s="84"/>
      <c r="G84" s="84"/>
      <c r="H84" s="84"/>
      <c r="I84" s="84"/>
      <c r="J84" s="84"/>
    </row>
    <row r="85" spans="1:10" x14ac:dyDescent="0.2">
      <c r="A85" s="31">
        <v>1</v>
      </c>
      <c r="B85" s="12" t="s">
        <v>48</v>
      </c>
      <c r="C85" s="32">
        <v>2</v>
      </c>
      <c r="D85" s="4" t="s">
        <v>108</v>
      </c>
      <c r="E85" s="7"/>
      <c r="F85" s="7"/>
      <c r="G85" s="7"/>
      <c r="H85" s="7"/>
      <c r="I85" s="4"/>
      <c r="J85" s="4"/>
    </row>
    <row r="86" spans="1:10" ht="13.5" thickBot="1" x14ac:dyDescent="0.25">
      <c r="A86" s="31">
        <v>2</v>
      </c>
      <c r="B86" s="47" t="s">
        <v>123</v>
      </c>
      <c r="C86" s="34">
        <v>2</v>
      </c>
      <c r="D86" s="4" t="s">
        <v>108</v>
      </c>
      <c r="E86" s="7"/>
      <c r="F86" s="7"/>
      <c r="G86" s="7"/>
      <c r="H86" s="7"/>
      <c r="I86" s="4"/>
      <c r="J86" s="4"/>
    </row>
    <row r="87" spans="1:10" x14ac:dyDescent="0.2">
      <c r="A87" s="83"/>
      <c r="B87" s="83"/>
      <c r="C87" s="83"/>
      <c r="D87" s="83"/>
      <c r="E87" s="83"/>
      <c r="F87" s="83"/>
      <c r="G87" s="83"/>
      <c r="H87" s="83"/>
      <c r="I87" s="83"/>
      <c r="J87" s="83"/>
    </row>
    <row r="91" spans="1:10" x14ac:dyDescent="0.2">
      <c r="A91" s="30" t="s">
        <v>8</v>
      </c>
      <c r="B91" s="6" t="s">
        <v>9</v>
      </c>
      <c r="C91" s="30" t="s">
        <v>10</v>
      </c>
      <c r="D91" s="6" t="s">
        <v>11</v>
      </c>
      <c r="E91" s="6" t="s">
        <v>12</v>
      </c>
      <c r="F91" s="6" t="s">
        <v>13</v>
      </c>
      <c r="G91" s="6" t="s">
        <v>14</v>
      </c>
      <c r="H91" s="6" t="s">
        <v>15</v>
      </c>
      <c r="I91" s="6" t="s">
        <v>16</v>
      </c>
      <c r="J91" s="6" t="s">
        <v>17</v>
      </c>
    </row>
    <row r="92" spans="1:10" x14ac:dyDescent="0.2">
      <c r="A92" s="31"/>
      <c r="B92" s="4"/>
      <c r="C92" s="31">
        <f>SUM(C94:C95)</f>
        <v>4</v>
      </c>
      <c r="D92" s="4"/>
      <c r="E92" s="4"/>
      <c r="F92" s="4"/>
      <c r="G92" s="4"/>
      <c r="H92" s="4"/>
      <c r="I92" s="4"/>
      <c r="J92" s="4"/>
    </row>
    <row r="93" spans="1:10" x14ac:dyDescent="0.2">
      <c r="A93" s="84" t="s">
        <v>104</v>
      </c>
      <c r="B93" s="84"/>
      <c r="C93" s="84"/>
      <c r="D93" s="84"/>
      <c r="E93" s="84"/>
      <c r="F93" s="84"/>
      <c r="G93" s="84"/>
      <c r="H93" s="84"/>
      <c r="I93" s="84"/>
      <c r="J93" s="84"/>
    </row>
    <row r="94" spans="1:10" x14ac:dyDescent="0.2">
      <c r="A94" s="31">
        <v>1</v>
      </c>
      <c r="B94" t="s">
        <v>51</v>
      </c>
      <c r="C94" s="33">
        <v>2</v>
      </c>
      <c r="D94" s="4" t="s">
        <v>108</v>
      </c>
      <c r="E94" s="7"/>
      <c r="F94" s="7"/>
      <c r="G94" s="7"/>
      <c r="H94" s="7"/>
      <c r="I94" s="4"/>
      <c r="J94" s="4"/>
    </row>
    <row r="95" spans="1:10" ht="13.5" thickBot="1" x14ac:dyDescent="0.25">
      <c r="A95" s="31">
        <v>2</v>
      </c>
      <c r="B95" s="1" t="s">
        <v>55</v>
      </c>
      <c r="C95" s="34">
        <v>2</v>
      </c>
      <c r="D95" s="4" t="s">
        <v>108</v>
      </c>
      <c r="E95" s="7"/>
      <c r="F95" s="7"/>
      <c r="G95" s="7"/>
      <c r="H95" s="7"/>
      <c r="I95" s="4"/>
      <c r="J95" s="4"/>
    </row>
    <row r="96" spans="1:10" x14ac:dyDescent="0.2">
      <c r="A96" s="83"/>
      <c r="B96" s="83"/>
      <c r="C96" s="83"/>
      <c r="D96" s="83"/>
      <c r="E96" s="83"/>
      <c r="F96" s="83"/>
      <c r="G96" s="83"/>
      <c r="H96" s="83"/>
      <c r="I96" s="83"/>
      <c r="J96" s="83"/>
    </row>
    <row r="100" spans="1:10" x14ac:dyDescent="0.2">
      <c r="A100" s="30" t="s">
        <v>8</v>
      </c>
      <c r="B100" s="6" t="s">
        <v>9</v>
      </c>
      <c r="C100" s="30" t="s">
        <v>10</v>
      </c>
      <c r="D100" s="6" t="s">
        <v>11</v>
      </c>
      <c r="E100" s="6" t="s">
        <v>12</v>
      </c>
      <c r="F100" s="6" t="s">
        <v>13</v>
      </c>
      <c r="G100" s="6" t="s">
        <v>14</v>
      </c>
      <c r="H100" s="6" t="s">
        <v>15</v>
      </c>
      <c r="I100" s="6" t="s">
        <v>16</v>
      </c>
      <c r="J100" s="6" t="s">
        <v>17</v>
      </c>
    </row>
    <row r="101" spans="1:10" x14ac:dyDescent="0.2">
      <c r="A101" s="31"/>
      <c r="B101" s="4"/>
      <c r="C101" s="31">
        <f>SUM(C103:C105)</f>
        <v>13</v>
      </c>
      <c r="D101" s="4"/>
      <c r="E101" s="4"/>
      <c r="F101" s="4"/>
      <c r="G101" s="4"/>
      <c r="H101" s="4"/>
      <c r="I101" s="4"/>
      <c r="J101" s="4"/>
    </row>
    <row r="102" spans="1:10" ht="13.5" thickBot="1" x14ac:dyDescent="0.25">
      <c r="A102" s="84" t="s">
        <v>105</v>
      </c>
      <c r="B102" s="84"/>
      <c r="C102" s="85"/>
      <c r="D102" s="84"/>
      <c r="E102" s="84"/>
      <c r="F102" s="84"/>
      <c r="G102" s="84"/>
      <c r="H102" s="84"/>
      <c r="I102" s="84"/>
      <c r="J102" s="84"/>
    </row>
    <row r="103" spans="1:10" x14ac:dyDescent="0.2">
      <c r="A103" s="31">
        <v>1</v>
      </c>
      <c r="B103" t="s">
        <v>54</v>
      </c>
      <c r="C103" s="32">
        <v>4</v>
      </c>
      <c r="D103" s="48" t="s">
        <v>108</v>
      </c>
      <c r="E103" s="7"/>
      <c r="F103" s="7"/>
      <c r="G103" s="7"/>
      <c r="H103" s="7"/>
      <c r="I103" s="4"/>
      <c r="J103" s="4"/>
    </row>
    <row r="104" spans="1:10" x14ac:dyDescent="0.2">
      <c r="A104" s="31">
        <v>2</v>
      </c>
      <c r="B104" s="12" t="s">
        <v>52</v>
      </c>
      <c r="C104" s="33">
        <v>4</v>
      </c>
      <c r="D104" s="48" t="s">
        <v>108</v>
      </c>
      <c r="E104" s="7"/>
      <c r="F104" s="7"/>
      <c r="G104" s="7"/>
      <c r="H104" s="7"/>
      <c r="I104" s="4"/>
      <c r="J104" s="4"/>
    </row>
    <row r="105" spans="1:10" ht="13.5" thickBot="1" x14ac:dyDescent="0.25">
      <c r="A105" s="31">
        <v>3</v>
      </c>
      <c r="B105" s="12" t="s">
        <v>50</v>
      </c>
      <c r="C105" s="34">
        <v>5</v>
      </c>
      <c r="D105" s="48" t="s">
        <v>108</v>
      </c>
      <c r="E105" s="7"/>
      <c r="F105" s="7"/>
      <c r="G105" s="7"/>
      <c r="H105" s="7"/>
      <c r="I105" s="4"/>
      <c r="J105" s="4"/>
    </row>
    <row r="106" spans="1:10" x14ac:dyDescent="0.2">
      <c r="A106" s="83"/>
      <c r="B106" s="83"/>
      <c r="C106" s="86"/>
      <c r="D106" s="83"/>
      <c r="E106" s="83"/>
      <c r="F106" s="83"/>
      <c r="G106" s="83"/>
      <c r="H106" s="83"/>
      <c r="I106" s="83"/>
      <c r="J106" s="83"/>
    </row>
  </sheetData>
  <mergeCells count="23">
    <mergeCell ref="A14:J14"/>
    <mergeCell ref="A1:J1"/>
    <mergeCell ref="E3:F3"/>
    <mergeCell ref="G3:H3"/>
    <mergeCell ref="A6:J6"/>
    <mergeCell ref="A20:J20"/>
    <mergeCell ref="A29:J29"/>
    <mergeCell ref="A35:J35"/>
    <mergeCell ref="A40:J40"/>
    <mergeCell ref="A46:J46"/>
    <mergeCell ref="A50:J50"/>
    <mergeCell ref="A56:J56"/>
    <mergeCell ref="A60:J60"/>
    <mergeCell ref="A66:J66"/>
    <mergeCell ref="A69:J69"/>
    <mergeCell ref="A96:J96"/>
    <mergeCell ref="A102:J102"/>
    <mergeCell ref="A106:J106"/>
    <mergeCell ref="A75:J75"/>
    <mergeCell ref="A78:J78"/>
    <mergeCell ref="A84:J84"/>
    <mergeCell ref="A87:J87"/>
    <mergeCell ref="A93:J93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Đặng Quốc Hưng</cp:lastModifiedBy>
  <cp:revision/>
  <dcterms:created xsi:type="dcterms:W3CDTF">2007-09-27T18:30:44Z</dcterms:created>
  <dcterms:modified xsi:type="dcterms:W3CDTF">2025-10-14T01:47:05Z</dcterms:modified>
  <cp:category>DNG67</cp:category>
  <cp:contentStatus/>
</cp:coreProperties>
</file>